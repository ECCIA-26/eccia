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Seguridad NUC" sheetId="1" state="visible" r:id="rId3"/>
    <sheet name="Análisis de Cos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<sst xmlns="http://schemas.openxmlformats.org/spreadsheetml/2006/main" count="307" uniqueCount="147">
  <si>
    <t xml:space="preserve">CHECKLIST DE SEGURIDAD — NUC EQUIA</t>
  </si>
  <si>
    <t xml:space="preserve">Hardening inicial + mantenimiento mensual del servidor NUC (N8N + Automatizaciones)</t>
  </si>
  <si>
    <t xml:space="preserve">#</t>
  </si>
  <si>
    <t xml:space="preserve">Categoría</t>
  </si>
  <si>
    <t xml:space="preserve">Tarea</t>
  </si>
  <si>
    <t xml:space="preserve">Descripción / Cómo hacerlo</t>
  </si>
  <si>
    <t xml:space="preserve">Prioridad</t>
  </si>
  <si>
    <t xml:space="preserve">Dificultad</t>
  </si>
  <si>
    <t xml:space="preserve">Tipo</t>
  </si>
  <si>
    <t xml:space="preserve">Estado</t>
  </si>
  <si>
    <t xml:space="preserve">Notas</t>
  </si>
  <si>
    <t xml:space="preserve">SO &amp; Sistema Base</t>
  </si>
  <si>
    <t xml:space="preserve">Instalar Ubuntu Server LTS</t>
  </si>
  <si>
    <t xml:space="preserve">Descargar Ubuntu Server 24.04 LTS. Instalar sin interfaz gráfica (modo headless). Es más ligero y seguro.</t>
  </si>
  <si>
    <t xml:space="preserve">Alta</t>
  </si>
  <si>
    <t xml:space="preserve">Fácil</t>
  </si>
  <si>
    <t xml:space="preserve">Inicial</t>
  </si>
  <si>
    <t xml:space="preserve">Pendiente</t>
  </si>
  <si>
    <t xml:space="preserve">Crear usuario no-root</t>
  </si>
  <si>
    <t xml:space="preserve">Nunca usar 'root' para el día a día. Crear un usuario con: adduser maria_equia &amp;&amp; usermod -aG sudo maria_equia</t>
  </si>
  <si>
    <t xml:space="preserve">Activar actualizaciones automáticas de seguridad</t>
  </si>
  <si>
    <t xml:space="preserve">Instalar unattended-upgrades: sudo apt install unattended-upgrades &amp;&amp; sudo dpkg-reconfigure unattended-upgrades. Solo aplica parches de seguridad automáticamente.</t>
  </si>
  <si>
    <t xml:space="preserve">Actualización manual mensual completa</t>
  </si>
  <si>
    <t xml:space="preserve">Cada mes ejecutar: sudo apt update &amp;&amp; sudo apt upgrade -y. Incluye actualizaciones de N8N.</t>
  </si>
  <si>
    <t xml:space="preserve">Mensual</t>
  </si>
  <si>
    <t xml:space="preserve">Verificar logs del sistema</t>
  </si>
  <si>
    <t xml:space="preserve">Revisar: sudo journalctl -p err -b para ver errores recientes. Buscar anomalías.</t>
  </si>
  <si>
    <t xml:space="preserve">Media</t>
  </si>
  <si>
    <t xml:space="preserve">Firewall (UFW)</t>
  </si>
  <si>
    <t xml:space="preserve">Instalar y activar UFW</t>
  </si>
  <si>
    <t xml:space="preserve">sudo apt install ufw &amp;&amp; sudo ufw default deny incoming &amp;&amp; sudo ufw default allow outgoing &amp;&amp; sudo ufw enable</t>
  </si>
  <si>
    <t xml:space="preserve">Abrir solo puertos necesarios</t>
  </si>
  <si>
    <t xml:space="preserve">Solo los imprescindibles: sudo ufw allow 22/tcp (SSH) &amp;&amp; sudo ufw allow 80/tcp &amp;&amp; sudo ufw allow 443/tcp. Nada más.</t>
  </si>
  <si>
    <t xml:space="preserve">Verificar reglas activas mensualmente</t>
  </si>
  <si>
    <t xml:space="preserve">sudo ufw status verbose — confirmar que no hay puertos abiertos innecesariamente.</t>
  </si>
  <si>
    <t xml:space="preserve">Acceso SSH</t>
  </si>
  <si>
    <t xml:space="preserve">Generar clave SSH y desactivar acceso por contraseña</t>
  </si>
  <si>
    <t xml:space="preserve">En tu PC: ssh-keygen -t ed25519. Copiar al NUC: ssh-copy-id usuario@ip_nuc. Luego editar /etc/ssh/sshd_config: PasswordAuthentication no</t>
  </si>
  <si>
    <t xml:space="preserve">Con ayuda de Claude</t>
  </si>
  <si>
    <t xml:space="preserve">Cambiar puerto SSH por defecto</t>
  </si>
  <si>
    <t xml:space="preserve">En /etc/ssh/sshd_config cambiar Port 22 por un número alto (ej. 2247). Actualizar regla UFW: ufw allow 2247/tcp &amp;&amp; ufw delete allow 22/tcp</t>
  </si>
  <si>
    <t xml:space="preserve">Reduce el 90% de ataques automatizados</t>
  </si>
  <si>
    <t xml:space="preserve">Instalar Fail2Ban</t>
  </si>
  <si>
    <t xml:space="preserve">sudo apt install fail2ban — banea automáticamente IPs que intentan acceso masivo por fuerza bruta. Configuración por defecto es suficiente.</t>
  </si>
  <si>
    <t xml:space="preserve">Verificar intentos de acceso fallidos (mensual)</t>
  </si>
  <si>
    <t xml:space="preserve">sudo cat /var/log/auth.log | grep 'Failed' | tail -50 — revisar si hay IPs sospechosas.</t>
  </si>
  <si>
    <t xml:space="preserve">N8N &amp; Automatizaciones</t>
  </si>
  <si>
    <t xml:space="preserve">Activar cifrado de credenciales en N8N</t>
  </si>
  <si>
    <t xml:space="preserve">En el archivo .env de N8N añadir: N8N_ENCRYPTION_KEY=clave_aleatoria_32_chars. Generarla con: openssl rand -hex 32</t>
  </si>
  <si>
    <t xml:space="preserve">Crítico — protege las APIs de los clientes</t>
  </si>
  <si>
    <t xml:space="preserve">No exponer N8N directamente a internet</t>
  </si>
  <si>
    <t xml:space="preserve">N8N debe escuchar solo en localhost (127.0.0.1). El acceso externo solo a través del reverse proxy (Caddy/Nginx).</t>
  </si>
  <si>
    <t xml:space="preserve">Instalar Caddy como reverse proxy con HTTPS</t>
  </si>
  <si>
    <t xml:space="preserve">Caddy gestiona SSL automáticamente. Instalar: sudo apt install caddy. Configurar Caddyfile con dominio y proxy a localhost:5678</t>
  </si>
  <si>
    <t xml:space="preserve">Con ayuda de Claude. SSL gratis automático.</t>
  </si>
  <si>
    <t xml:space="preserve">Separar workspaces por cliente en N8N</t>
  </si>
  <si>
    <t xml:space="preserve">Usar proyectos separados en N8N para cada cliente. Evita que las credenciales o datos de un cliente contaminen a otro.</t>
  </si>
  <si>
    <t xml:space="preserve">Actualizar N8N mensualmente</t>
  </si>
  <si>
    <t xml:space="preserve">npm update -g n8n (si instalado con npm) o docker pull n8nio/n8n (si Docker). Verificar changelog por cambios importantes.</t>
  </si>
  <si>
    <t xml:space="preserve">Revisar workflows activos (mensual)</t>
  </si>
  <si>
    <t xml:space="preserve">Acceder a N8N y confirmar que todos los workflows de clientes están ejecutándose correctamente. Revisar errores recientes.</t>
  </si>
  <si>
    <t xml:space="preserve">Backups</t>
  </si>
  <si>
    <t xml:space="preserve">Configurar backup automático diario</t>
  </si>
  <si>
    <t xml:space="preserve">Usar rsync o rclone para copiar la carpeta de N8N a almacenamiento externo (USB conectado al NUC o cloud). Programar con cron.</t>
  </si>
  <si>
    <t xml:space="preserve">Elegir destino de backup</t>
  </si>
  <si>
    <t xml:space="preserve">Opciones: Disco USB externo en el NUC (gratuito), Backblaze B2 (~2-3€/mes), Google Drive con rclone (gratuito hasta 15GB).</t>
  </si>
  <si>
    <t xml:space="preserve">Coste: 0-5€/mes</t>
  </si>
  <si>
    <t xml:space="preserve">Verificar que los backups se están ejecutando (mensual)</t>
  </si>
  <si>
    <t xml:space="preserve">Comprobar fecha y tamaño del último backup. Hacer una prueba de restauración trimestral.</t>
  </si>
  <si>
    <t xml:space="preserve">Un backup no verificado no existe</t>
  </si>
  <si>
    <t xml:space="preserve">Retención de backups (política)</t>
  </si>
  <si>
    <t xml:space="preserve">Mantener: últimos 7 días diarios + últimas 4 semanas + último mes de cada trimestre. Borrar los más antiguos automáticamente.</t>
  </si>
  <si>
    <t xml:space="preserve">Monitorización</t>
  </si>
  <si>
    <t xml:space="preserve">Instalar herramienta de monitorización básica</t>
  </si>
  <si>
    <t xml:space="preserve">htop para recursos en tiempo real (sudo apt install htop). Opcional: Uptime Kuma (gratuito) para monitorizar si N8N está caído.</t>
  </si>
  <si>
    <t xml:space="preserve">Uptime Kuma envía alertas por email o Telegram</t>
  </si>
  <si>
    <t xml:space="preserve">Configurar alertas de caída de servicio</t>
  </si>
  <si>
    <t xml:space="preserve">Uptime Kuma o similar que avise si N8N no responde. Tiempo de respuesta objetivo: &lt; 5 minutos de detección.</t>
  </si>
  <si>
    <t xml:space="preserve">Revisar uso de disco (mensual)</t>
  </si>
  <si>
    <t xml:space="preserve">df -h — verificar que el disco no está al límite. Si supera el 80%, limpiar logs o ampliar almacenamiento.</t>
  </si>
  <si>
    <t xml:space="preserve">Revisar uso de CPU y RAM (mensual)</t>
  </si>
  <si>
    <t xml:space="preserve">htop o free -h — verificar que el servidor no está sobrecargado con las automatizaciones de los clientes.</t>
  </si>
  <si>
    <t xml:space="preserve">Baja</t>
  </si>
  <si>
    <t xml:space="preserve">Seguridad Física</t>
  </si>
  <si>
    <t xml:space="preserve">Ubicar el NUC en lugar seguro</t>
  </si>
  <si>
    <t xml:space="preserve">El NUC debe estar en un espacio físico controlado: armario cerrado, oficina con acceso restringido. No en zonas de acceso público.</t>
  </si>
  <si>
    <t xml:space="preserve">Proteger con contraseña la BIOS/UEFI</t>
  </si>
  <si>
    <t xml:space="preserve">Entrar en la BIOS al arrancar (tecla F2 o Del) y establecer contraseña de administrador. Evita que alguien arranque desde USB externo.</t>
  </si>
  <si>
    <t xml:space="preserve">Etiquetar y documentar el hardware</t>
  </si>
  <si>
    <t xml:space="preserve">Anotar: modelo exacto del NUC, IP local asignada, MAC address, ubicación. Guardar en documento interno.</t>
  </si>
  <si>
    <t xml:space="preserve">Datos de Clientes</t>
  </si>
  <si>
    <t xml:space="preserve">Nunca almacenar datos sensibles en texto plano</t>
  </si>
  <si>
    <t xml:space="preserve">Los datos de clientes que pasen por N8N no deben guardarse en logs ni en texto plano. Usar solo referencias o tokens.</t>
  </si>
  <si>
    <t xml:space="preserve">Documentar qué datos maneja cada workflow</t>
  </si>
  <si>
    <t xml:space="preserve">Para cada cliente, tener documentado: qué APIs conecta, qué datos fluyen, dónde se almacenan. Útil para RGPD.</t>
  </si>
  <si>
    <t xml:space="preserve">Relevante para cumplimiento RGPD</t>
  </si>
  <si>
    <t xml:space="preserve">Renovar/rotar credenciales de clientes anualmente</t>
  </si>
  <si>
    <t xml:space="preserve">Una vez al año, pedir a los clientes que renueven sus API keys y actualizar en N8N. Reduce riesgo de credenciales comprometidas.</t>
  </si>
  <si>
    <t xml:space="preserve">Anual</t>
  </si>
  <si>
    <t xml:space="preserve">RESUMEN</t>
  </si>
  <si>
    <t xml:space="preserve">Total tareas</t>
  </si>
  <si>
    <t xml:space="preserve">Completadas</t>
  </si>
  <si>
    <t xml:space="preserve">% Completado</t>
  </si>
  <si>
    <t xml:space="preserve">ANÁLISIS DE COSTES — SEGURIDAD DEL NUC</t>
  </si>
  <si>
    <t xml:space="preserve">¿Cuánto cuesta la seguridad del NUC y cómo impacta en el precio mensual?</t>
  </si>
  <si>
    <t xml:space="preserve">Concepto</t>
  </si>
  <si>
    <t xml:space="preserve">Escenario A — María lo gestiona
(con ayuda de Claude)</t>
  </si>
  <si>
    <t xml:space="preserve">Escenario B — Informático externo
(setup inicial + soporte)</t>
  </si>
  <si>
    <t xml:space="preserve">Tipo de coste</t>
  </si>
  <si>
    <t xml:space="preserve">Frecuencia</t>
  </si>
  <si>
    <t xml:space="preserve">Software de seguridad
(UFW, Fail2Ban, Caddy, etc.)</t>
  </si>
  <si>
    <t xml:space="preserve">0 €</t>
  </si>
  <si>
    <t xml:space="preserve">Software</t>
  </si>
  <si>
    <t xml:space="preserve">Único</t>
  </si>
  <si>
    <t xml:space="preserve">Todo open source y gratuito</t>
  </si>
  <si>
    <t xml:space="preserve">Setup inicial hardening
(configuración completa)</t>
  </si>
  <si>
    <t xml:space="preserve">0 €
(tiempo de Claude + María ~3h)</t>
  </si>
  <si>
    <t xml:space="preserve">200 – 400 €
(freelance IT, 2-4h a 80-100€/h)</t>
  </si>
  <si>
    <t xml:space="preserve">Servicio</t>
  </si>
  <si>
    <t xml:space="preserve">Con Claude: coste es tiempo, no dinero</t>
  </si>
  <si>
    <t xml:space="preserve">Almacenamiento backup
(Google Drive / Backblaze)</t>
  </si>
  <si>
    <t xml:space="preserve">0 – 5 €/mes</t>
  </si>
  <si>
    <t xml:space="preserve">Infraestructura</t>
  </si>
  <si>
    <t xml:space="preserve">Google Drive gratuito hasta 15GB. Backblaze B2: ~2-3€/mes</t>
  </si>
  <si>
    <t xml:space="preserve">Monitorización
(Uptime Kuma)</t>
  </si>
  <si>
    <t xml:space="preserve">0 €
(autoalojado en el NUC)</t>
  </si>
  <si>
    <t xml:space="preserve">Gratuito y open source. Se instala en el propio NUC</t>
  </si>
  <si>
    <t xml:space="preserve">Mantenimiento mensual
(actualizaciones, revisión logs, verificar backups)</t>
  </si>
  <si>
    <t xml:space="preserve">0 €
(~1-2h María/mes con checklist)</t>
  </si>
  <si>
    <t xml:space="preserve">50 – 100 €/mes
(contrato básico IT freelance)</t>
  </si>
  <si>
    <t xml:space="preserve">Con la checklist del otro tab, son tareas simples</t>
  </si>
  <si>
    <t xml:space="preserve">Actualizaciones N8N
(versiones nuevas)</t>
  </si>
  <si>
    <t xml:space="preserve">0 €
(1 comando, ~15 min/mes)</t>
  </si>
  <si>
    <t xml:space="preserve">Incluido en tarifa
de mantenimiento IT</t>
  </si>
  <si>
    <t xml:space="preserve">npm update -g n8n — muy sencillo</t>
  </si>
  <si>
    <t xml:space="preserve">Renovación SSL
(certificado HTTPS)</t>
  </si>
  <si>
    <t xml:space="preserve">0 €
(Caddy lo renueva automático)</t>
  </si>
  <si>
    <t xml:space="preserve">Caddy gestiona Let's Encrypt automáticamente</t>
  </si>
  <si>
    <t xml:space="preserve">COSTE MENSUAL TOTAL
(recurrente)</t>
  </si>
  <si>
    <t xml:space="preserve">~0 – 5 €/mes
(solo almacenamiento backup)</t>
  </si>
  <si>
    <t xml:space="preserve">~50 – 105 €/mes
(mantenimiento IT + backup)</t>
  </si>
  <si>
    <t xml:space="preserve">* El setup inicial (Esc. B) es un pago único adicional de 200-400€</t>
  </si>
  <si>
    <t xml:space="preserve">CONCLUSIÓN PARA EL MODELO DE NEGOCIO</t>
  </si>
  <si>
    <t xml:space="preserve">●  La seguridad gestionada por María (Escenario A) tiene un coste real de 0-5€/mes en software.
El coste está en tiempo (~1-2h/mes), no en dinero. Con la checklist mensual, es perfectamente asumible.</t>
  </si>
  <si>
    <t xml:space="preserve">●  Los 197€/mes de Evolución Continua cubren HOLGADAMENTE la seguridad:
No hay que subirlos. El valor percibido es mucho mayor que el coste real.</t>
  </si>
  <si>
    <t xml:space="preserve">●  Si en el futuro la carga de clientes crece y el tiempo de mantenimiento aumenta, se puede revisar el precio.
Hasta ~6-8 clientes en el NUC, el Escenario A sigue siendo totalmente viable.</t>
  </si>
  <si>
    <t xml:space="preserve">●  Argumento de venta: el cliente NO sabe que la seguridad de tu servidor cuesta 5€/mes.
Él percibe que pagas una infraestructura segura, gestionada y actualizada. Eso tiene valor.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</si>
</sst>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93C5F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75569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334155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2563A8"/>
      <name val="Arial"/>
      <family val="0"/>
      <charset val="1"/>
    </font>
    <font>
      <b val="true"/>
      <sz val="9"/>
      <color rgb="FF92400E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9"/>
      <color rgb="FF3730A3"/>
      <name val="Arial"/>
      <family val="0"/>
      <charset val="1"/>
    </font>
    <font>
      <b val="true"/>
      <sz val="9"/>
      <color rgb="FF6B21A8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66534"/>
      <name val="Arial"/>
      <family val="0"/>
      <charset val="1"/>
    </font>
    <font>
      <sz val="9"/>
      <color rgb="FF92400E"/>
      <name val="Arial"/>
      <family val="0"/>
      <charset val="1"/>
    </font>
    <font>
      <sz val="9"/>
      <color rgb="FF47556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66534"/>
      <name val="Arial"/>
      <family val="0"/>
      <charset val="1"/>
    </font>
    <font>
      <b val="true"/>
      <sz val="11"/>
      <color rgb="FF92400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E293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6B"/>
        <bgColor rgb="FF334155"/>
      </patternFill>
    </fill>
    <fill>
      <patternFill patternType="solid">
        <fgColor rgb="FF2563A8"/>
        <bgColor rgb="FF3366FF"/>
      </patternFill>
    </fill>
    <fill>
      <patternFill patternType="solid">
        <fgColor rgb="FFFFFFFF"/>
        <bgColor rgb="FFF8FAFC"/>
      </patternFill>
    </fill>
    <fill>
      <patternFill patternType="solid">
        <fgColor rgb="FFFEE2E2"/>
        <bgColor rgb="FFF3E8FF"/>
      </patternFill>
    </fill>
    <fill>
      <patternFill patternType="solid">
        <fgColor rgb="FFDCFCE7"/>
        <bgColor rgb="FFF0F9FF"/>
      </patternFill>
    </fill>
    <fill>
      <patternFill patternType="solid">
        <fgColor rgb="FFD6E4F7"/>
        <bgColor rgb="FFE0E7FF"/>
      </patternFill>
    </fill>
    <fill>
      <patternFill patternType="solid">
        <fgColor rgb="FFFEF3C7"/>
        <bgColor rgb="FFFEE2E2"/>
      </patternFill>
    </fill>
    <fill>
      <patternFill patternType="solid">
        <fgColor rgb="FFF8FAFC"/>
        <bgColor rgb="FFF0F9FF"/>
      </patternFill>
    </fill>
    <fill>
      <patternFill patternType="solid">
        <fgColor rgb="FFE0E7FF"/>
        <bgColor rgb="FFD6E4F7"/>
      </patternFill>
    </fill>
    <fill>
      <patternFill patternType="solid">
        <fgColor rgb="FFF1F5F9"/>
        <bgColor rgb="FFF0F9FF"/>
      </patternFill>
    </fill>
    <fill>
      <patternFill patternType="solid">
        <fgColor rgb="FFF3E8FF"/>
        <bgColor rgb="FFF1F5F9"/>
      </patternFill>
    </fill>
    <fill>
      <patternFill patternType="solid">
        <fgColor rgb="FFF0F9FF"/>
        <bgColor rgb="FFF1F5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6B21A8"/>
      <rgbColor rgb="FF008080"/>
      <rgbColor rgb="FFE0E7FF"/>
      <rgbColor rgb="FF808080"/>
      <rgbColor rgb="FF9999FF"/>
      <rgbColor rgb="FF993366"/>
      <rgbColor rgb="FFFEF3C7"/>
      <rgbColor rgb="FFDCFCE7"/>
      <rgbColor rgb="FF660066"/>
      <rgbColor rgb="FFFF8080"/>
      <rgbColor rgb="FF2563A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9FF"/>
      <rgbColor rgb="FFD6E4F7"/>
      <rgbColor rgb="FFF8FAFC"/>
      <rgbColor rgb="FF93C5FD"/>
      <rgbColor rgb="FFF3E8FF"/>
      <rgbColor rgb="FFF1F5F9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B3A6B"/>
      <rgbColor rgb="FF339966"/>
      <rgbColor rgb="FF003300"/>
      <rgbColor rgb="FF334155"/>
      <rgbColor rgb="FF92400E"/>
      <rgbColor rgb="FF993366"/>
      <rgbColor rgb="FF3730A3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55"/>
    <col collapsed="false" customWidth="true" hidden="false" outlineLevel="0" max="6" min="5" style="0" width="12"/>
    <col collapsed="false" customWidth="true" hidden="false" outlineLevel="0" max="8" min="7" style="0" width="14"/>
    <col collapsed="false" customWidth="true" hidden="false" outlineLevel="0" max="9" min="9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7.5" hidden="false" customHeight="true" outlineLevel="0" collapsed="false">
      <c r="A5" s="4" t="n">
        <v>1</v>
      </c>
      <c r="B5" s="5" t="s">
        <v>11</v>
      </c>
      <c r="C5" s="6" t="s">
        <v>12</v>
      </c>
      <c r="D5" s="7" t="s">
        <v>13</v>
      </c>
      <c r="E5" s="8" t="s">
        <v>14</v>
      </c>
      <c r="F5" s="9" t="s">
        <v>15</v>
      </c>
      <c r="G5" s="10" t="s">
        <v>16</v>
      </c>
      <c r="H5" s="11" t="s">
        <v>17</v>
      </c>
      <c r="I5" s="12"/>
    </row>
    <row r="6" customFormat="false" ht="37.5" hidden="false" customHeight="true" outlineLevel="0" collapsed="false">
      <c r="A6" s="13" t="n">
        <v>2</v>
      </c>
      <c r="B6" s="14" t="s">
        <v>11</v>
      </c>
      <c r="C6" s="15" t="s">
        <v>18</v>
      </c>
      <c r="D6" s="16" t="s">
        <v>19</v>
      </c>
      <c r="E6" s="8" t="s">
        <v>14</v>
      </c>
      <c r="F6" s="9" t="s">
        <v>15</v>
      </c>
      <c r="G6" s="10" t="s">
        <v>16</v>
      </c>
      <c r="H6" s="11" t="s">
        <v>17</v>
      </c>
      <c r="I6" s="17"/>
    </row>
    <row r="7" customFormat="false" ht="37.5" hidden="false" customHeight="true" outlineLevel="0" collapsed="false">
      <c r="A7" s="4" t="n">
        <v>3</v>
      </c>
      <c r="B7" s="5" t="s">
        <v>11</v>
      </c>
      <c r="C7" s="6" t="s">
        <v>20</v>
      </c>
      <c r="D7" s="7" t="s">
        <v>21</v>
      </c>
      <c r="E7" s="8" t="s">
        <v>14</v>
      </c>
      <c r="F7" s="9" t="s">
        <v>15</v>
      </c>
      <c r="G7" s="10" t="s">
        <v>16</v>
      </c>
      <c r="H7" s="11" t="s">
        <v>17</v>
      </c>
      <c r="I7" s="12"/>
    </row>
    <row r="8" customFormat="false" ht="37.5" hidden="false" customHeight="true" outlineLevel="0" collapsed="false">
      <c r="A8" s="13" t="n">
        <v>4</v>
      </c>
      <c r="B8" s="14" t="s">
        <v>11</v>
      </c>
      <c r="C8" s="15" t="s">
        <v>22</v>
      </c>
      <c r="D8" s="16" t="s">
        <v>23</v>
      </c>
      <c r="E8" s="8" t="s">
        <v>14</v>
      </c>
      <c r="F8" s="9" t="s">
        <v>15</v>
      </c>
      <c r="G8" s="18" t="s">
        <v>24</v>
      </c>
      <c r="H8" s="11" t="s">
        <v>17</v>
      </c>
      <c r="I8" s="17"/>
    </row>
    <row r="9" customFormat="false" ht="37.5" hidden="false" customHeight="true" outlineLevel="0" collapsed="false">
      <c r="A9" s="4" t="n">
        <v>5</v>
      </c>
      <c r="B9" s="5" t="s">
        <v>11</v>
      </c>
      <c r="C9" s="6" t="s">
        <v>25</v>
      </c>
      <c r="D9" s="7" t="s">
        <v>26</v>
      </c>
      <c r="E9" s="11" t="s">
        <v>27</v>
      </c>
      <c r="F9" s="9" t="s">
        <v>15</v>
      </c>
      <c r="G9" s="18" t="s">
        <v>24</v>
      </c>
      <c r="H9" s="11" t="s">
        <v>17</v>
      </c>
      <c r="I9" s="12"/>
    </row>
    <row r="10" customFormat="false" ht="37.5" hidden="false" customHeight="true" outlineLevel="0" collapsed="false">
      <c r="A10" s="13" t="n">
        <v>6</v>
      </c>
      <c r="B10" s="14" t="s">
        <v>28</v>
      </c>
      <c r="C10" s="15" t="s">
        <v>29</v>
      </c>
      <c r="D10" s="16" t="s">
        <v>30</v>
      </c>
      <c r="E10" s="8" t="s">
        <v>14</v>
      </c>
      <c r="F10" s="9" t="s">
        <v>15</v>
      </c>
      <c r="G10" s="10" t="s">
        <v>16</v>
      </c>
      <c r="H10" s="11" t="s">
        <v>17</v>
      </c>
      <c r="I10" s="17"/>
    </row>
    <row r="11" customFormat="false" ht="37.5" hidden="false" customHeight="true" outlineLevel="0" collapsed="false">
      <c r="A11" s="4" t="n">
        <v>7</v>
      </c>
      <c r="B11" s="5" t="s">
        <v>28</v>
      </c>
      <c r="C11" s="6" t="s">
        <v>31</v>
      </c>
      <c r="D11" s="7" t="s">
        <v>32</v>
      </c>
      <c r="E11" s="8" t="s">
        <v>14</v>
      </c>
      <c r="F11" s="9" t="s">
        <v>15</v>
      </c>
      <c r="G11" s="10" t="s">
        <v>16</v>
      </c>
      <c r="H11" s="11" t="s">
        <v>17</v>
      </c>
      <c r="I11" s="12"/>
    </row>
    <row r="12" customFormat="false" ht="37.5" hidden="false" customHeight="true" outlineLevel="0" collapsed="false">
      <c r="A12" s="13" t="n">
        <v>8</v>
      </c>
      <c r="B12" s="14" t="s">
        <v>28</v>
      </c>
      <c r="C12" s="15" t="s">
        <v>33</v>
      </c>
      <c r="D12" s="16" t="s">
        <v>34</v>
      </c>
      <c r="E12" s="11" t="s">
        <v>27</v>
      </c>
      <c r="F12" s="9" t="s">
        <v>15</v>
      </c>
      <c r="G12" s="18" t="s">
        <v>24</v>
      </c>
      <c r="H12" s="11" t="s">
        <v>17</v>
      </c>
      <c r="I12" s="17"/>
    </row>
    <row r="13" customFormat="false" ht="37.5" hidden="false" customHeight="true" outlineLevel="0" collapsed="false">
      <c r="A13" s="4" t="n">
        <v>9</v>
      </c>
      <c r="B13" s="5" t="s">
        <v>35</v>
      </c>
      <c r="C13" s="6" t="s">
        <v>36</v>
      </c>
      <c r="D13" s="7" t="s">
        <v>37</v>
      </c>
      <c r="E13" s="8" t="s">
        <v>14</v>
      </c>
      <c r="F13" s="11" t="s">
        <v>27</v>
      </c>
      <c r="G13" s="10" t="s">
        <v>16</v>
      </c>
      <c r="H13" s="11" t="s">
        <v>17</v>
      </c>
      <c r="I13" s="12" t="s">
        <v>38</v>
      </c>
    </row>
    <row r="14" customFormat="false" ht="37.5" hidden="false" customHeight="true" outlineLevel="0" collapsed="false">
      <c r="A14" s="13" t="n">
        <v>10</v>
      </c>
      <c r="B14" s="14" t="s">
        <v>35</v>
      </c>
      <c r="C14" s="15" t="s">
        <v>39</v>
      </c>
      <c r="D14" s="16" t="s">
        <v>40</v>
      </c>
      <c r="E14" s="11" t="s">
        <v>27</v>
      </c>
      <c r="F14" s="9" t="s">
        <v>15</v>
      </c>
      <c r="G14" s="10" t="s">
        <v>16</v>
      </c>
      <c r="H14" s="11" t="s">
        <v>17</v>
      </c>
      <c r="I14" s="17" t="s">
        <v>41</v>
      </c>
    </row>
    <row r="15" customFormat="false" ht="37.5" hidden="false" customHeight="true" outlineLevel="0" collapsed="false">
      <c r="A15" s="4" t="n">
        <v>11</v>
      </c>
      <c r="B15" s="5" t="s">
        <v>35</v>
      </c>
      <c r="C15" s="6" t="s">
        <v>42</v>
      </c>
      <c r="D15" s="7" t="s">
        <v>43</v>
      </c>
      <c r="E15" s="8" t="s">
        <v>14</v>
      </c>
      <c r="F15" s="9" t="s">
        <v>15</v>
      </c>
      <c r="G15" s="10" t="s">
        <v>16</v>
      </c>
      <c r="H15" s="11" t="s">
        <v>17</v>
      </c>
      <c r="I15" s="12"/>
    </row>
    <row r="16" customFormat="false" ht="37.5" hidden="false" customHeight="true" outlineLevel="0" collapsed="false">
      <c r="A16" s="13" t="n">
        <v>12</v>
      </c>
      <c r="B16" s="14" t="s">
        <v>35</v>
      </c>
      <c r="C16" s="15" t="s">
        <v>44</v>
      </c>
      <c r="D16" s="16" t="s">
        <v>45</v>
      </c>
      <c r="E16" s="11" t="s">
        <v>27</v>
      </c>
      <c r="F16" s="9" t="s">
        <v>15</v>
      </c>
      <c r="G16" s="18" t="s">
        <v>24</v>
      </c>
      <c r="H16" s="11" t="s">
        <v>17</v>
      </c>
      <c r="I16" s="17"/>
    </row>
    <row r="17" customFormat="false" ht="37.5" hidden="false" customHeight="true" outlineLevel="0" collapsed="false">
      <c r="A17" s="4" t="n">
        <v>13</v>
      </c>
      <c r="B17" s="5" t="s">
        <v>46</v>
      </c>
      <c r="C17" s="6" t="s">
        <v>47</v>
      </c>
      <c r="D17" s="7" t="s">
        <v>48</v>
      </c>
      <c r="E17" s="8" t="s">
        <v>14</v>
      </c>
      <c r="F17" s="9" t="s">
        <v>15</v>
      </c>
      <c r="G17" s="10" t="s">
        <v>16</v>
      </c>
      <c r="H17" s="11" t="s">
        <v>17</v>
      </c>
      <c r="I17" s="12" t="s">
        <v>49</v>
      </c>
    </row>
    <row r="18" customFormat="false" ht="37.5" hidden="false" customHeight="true" outlineLevel="0" collapsed="false">
      <c r="A18" s="13" t="n">
        <v>14</v>
      </c>
      <c r="B18" s="14" t="s">
        <v>46</v>
      </c>
      <c r="C18" s="15" t="s">
        <v>50</v>
      </c>
      <c r="D18" s="16" t="s">
        <v>51</v>
      </c>
      <c r="E18" s="8" t="s">
        <v>14</v>
      </c>
      <c r="F18" s="11" t="s">
        <v>27</v>
      </c>
      <c r="G18" s="10" t="s">
        <v>16</v>
      </c>
      <c r="H18" s="11" t="s">
        <v>17</v>
      </c>
      <c r="I18" s="17"/>
    </row>
    <row r="19" customFormat="false" ht="37.5" hidden="false" customHeight="true" outlineLevel="0" collapsed="false">
      <c r="A19" s="4" t="n">
        <v>15</v>
      </c>
      <c r="B19" s="5" t="s">
        <v>46</v>
      </c>
      <c r="C19" s="6" t="s">
        <v>52</v>
      </c>
      <c r="D19" s="7" t="s">
        <v>53</v>
      </c>
      <c r="E19" s="8" t="s">
        <v>14</v>
      </c>
      <c r="F19" s="11" t="s">
        <v>27</v>
      </c>
      <c r="G19" s="10" t="s">
        <v>16</v>
      </c>
      <c r="H19" s="11" t="s">
        <v>17</v>
      </c>
      <c r="I19" s="12" t="s">
        <v>54</v>
      </c>
    </row>
    <row r="20" customFormat="false" ht="37.5" hidden="false" customHeight="true" outlineLevel="0" collapsed="false">
      <c r="A20" s="13" t="n">
        <v>16</v>
      </c>
      <c r="B20" s="14" t="s">
        <v>46</v>
      </c>
      <c r="C20" s="15" t="s">
        <v>55</v>
      </c>
      <c r="D20" s="16" t="s">
        <v>56</v>
      </c>
      <c r="E20" s="11" t="s">
        <v>27</v>
      </c>
      <c r="F20" s="9" t="s">
        <v>15</v>
      </c>
      <c r="G20" s="10" t="s">
        <v>16</v>
      </c>
      <c r="H20" s="11" t="s">
        <v>17</v>
      </c>
      <c r="I20" s="17"/>
    </row>
    <row r="21" customFormat="false" ht="37.5" hidden="false" customHeight="true" outlineLevel="0" collapsed="false">
      <c r="A21" s="4" t="n">
        <v>17</v>
      </c>
      <c r="B21" s="5" t="s">
        <v>46</v>
      </c>
      <c r="C21" s="6" t="s">
        <v>57</v>
      </c>
      <c r="D21" s="7" t="s">
        <v>58</v>
      </c>
      <c r="E21" s="8" t="s">
        <v>14</v>
      </c>
      <c r="F21" s="9" t="s">
        <v>15</v>
      </c>
      <c r="G21" s="18" t="s">
        <v>24</v>
      </c>
      <c r="H21" s="11" t="s">
        <v>17</v>
      </c>
      <c r="I21" s="12"/>
    </row>
    <row r="22" customFormat="false" ht="37.5" hidden="false" customHeight="true" outlineLevel="0" collapsed="false">
      <c r="A22" s="13" t="n">
        <v>18</v>
      </c>
      <c r="B22" s="14" t="s">
        <v>46</v>
      </c>
      <c r="C22" s="15" t="s">
        <v>59</v>
      </c>
      <c r="D22" s="16" t="s">
        <v>60</v>
      </c>
      <c r="E22" s="8" t="s">
        <v>14</v>
      </c>
      <c r="F22" s="9" t="s">
        <v>15</v>
      </c>
      <c r="G22" s="18" t="s">
        <v>24</v>
      </c>
      <c r="H22" s="11" t="s">
        <v>17</v>
      </c>
      <c r="I22" s="17"/>
    </row>
    <row r="23" customFormat="false" ht="37.5" hidden="false" customHeight="true" outlineLevel="0" collapsed="false">
      <c r="A23" s="4" t="n">
        <v>19</v>
      </c>
      <c r="B23" s="5" t="s">
        <v>61</v>
      </c>
      <c r="C23" s="6" t="s">
        <v>62</v>
      </c>
      <c r="D23" s="7" t="s">
        <v>63</v>
      </c>
      <c r="E23" s="8" t="s">
        <v>14</v>
      </c>
      <c r="F23" s="11" t="s">
        <v>27</v>
      </c>
      <c r="G23" s="10" t="s">
        <v>16</v>
      </c>
      <c r="H23" s="11" t="s">
        <v>17</v>
      </c>
      <c r="I23" s="12" t="s">
        <v>38</v>
      </c>
    </row>
    <row r="24" customFormat="false" ht="37.5" hidden="false" customHeight="true" outlineLevel="0" collapsed="false">
      <c r="A24" s="13" t="n">
        <v>20</v>
      </c>
      <c r="B24" s="14" t="s">
        <v>61</v>
      </c>
      <c r="C24" s="15" t="s">
        <v>64</v>
      </c>
      <c r="D24" s="16" t="s">
        <v>65</v>
      </c>
      <c r="E24" s="8" t="s">
        <v>14</v>
      </c>
      <c r="F24" s="9" t="s">
        <v>15</v>
      </c>
      <c r="G24" s="10" t="s">
        <v>16</v>
      </c>
      <c r="H24" s="11" t="s">
        <v>17</v>
      </c>
      <c r="I24" s="17" t="s">
        <v>66</v>
      </c>
    </row>
    <row r="25" customFormat="false" ht="37.5" hidden="false" customHeight="true" outlineLevel="0" collapsed="false">
      <c r="A25" s="4" t="n">
        <v>21</v>
      </c>
      <c r="B25" s="5" t="s">
        <v>61</v>
      </c>
      <c r="C25" s="6" t="s">
        <v>67</v>
      </c>
      <c r="D25" s="7" t="s">
        <v>68</v>
      </c>
      <c r="E25" s="8" t="s">
        <v>14</v>
      </c>
      <c r="F25" s="9" t="s">
        <v>15</v>
      </c>
      <c r="G25" s="18" t="s">
        <v>24</v>
      </c>
      <c r="H25" s="11" t="s">
        <v>17</v>
      </c>
      <c r="I25" s="12" t="s">
        <v>69</v>
      </c>
    </row>
    <row r="26" customFormat="false" ht="37.5" hidden="false" customHeight="true" outlineLevel="0" collapsed="false">
      <c r="A26" s="13" t="n">
        <v>22</v>
      </c>
      <c r="B26" s="14" t="s">
        <v>61</v>
      </c>
      <c r="C26" s="15" t="s">
        <v>70</v>
      </c>
      <c r="D26" s="16" t="s">
        <v>71</v>
      </c>
      <c r="E26" s="11" t="s">
        <v>27</v>
      </c>
      <c r="F26" s="11" t="s">
        <v>27</v>
      </c>
      <c r="G26" s="10" t="s">
        <v>16</v>
      </c>
      <c r="H26" s="11" t="s">
        <v>17</v>
      </c>
      <c r="I26" s="17"/>
    </row>
    <row r="27" customFormat="false" ht="37.5" hidden="false" customHeight="true" outlineLevel="0" collapsed="false">
      <c r="A27" s="4" t="n">
        <v>23</v>
      </c>
      <c r="B27" s="5" t="s">
        <v>72</v>
      </c>
      <c r="C27" s="6" t="s">
        <v>73</v>
      </c>
      <c r="D27" s="7" t="s">
        <v>74</v>
      </c>
      <c r="E27" s="11" t="s">
        <v>27</v>
      </c>
      <c r="F27" s="9" t="s">
        <v>15</v>
      </c>
      <c r="G27" s="10" t="s">
        <v>16</v>
      </c>
      <c r="H27" s="11" t="s">
        <v>17</v>
      </c>
      <c r="I27" s="12" t="s">
        <v>75</v>
      </c>
    </row>
    <row r="28" customFormat="false" ht="37.5" hidden="false" customHeight="true" outlineLevel="0" collapsed="false">
      <c r="A28" s="13" t="n">
        <v>24</v>
      </c>
      <c r="B28" s="14" t="s">
        <v>72</v>
      </c>
      <c r="C28" s="15" t="s">
        <v>76</v>
      </c>
      <c r="D28" s="16" t="s">
        <v>77</v>
      </c>
      <c r="E28" s="11" t="s">
        <v>27</v>
      </c>
      <c r="F28" s="11" t="s">
        <v>27</v>
      </c>
      <c r="G28" s="10" t="s">
        <v>16</v>
      </c>
      <c r="H28" s="11" t="s">
        <v>17</v>
      </c>
      <c r="I28" s="17"/>
    </row>
    <row r="29" customFormat="false" ht="37.5" hidden="false" customHeight="true" outlineLevel="0" collapsed="false">
      <c r="A29" s="4" t="n">
        <v>25</v>
      </c>
      <c r="B29" s="5" t="s">
        <v>72</v>
      </c>
      <c r="C29" s="6" t="s">
        <v>78</v>
      </c>
      <c r="D29" s="7" t="s">
        <v>79</v>
      </c>
      <c r="E29" s="11" t="s">
        <v>27</v>
      </c>
      <c r="F29" s="9" t="s">
        <v>15</v>
      </c>
      <c r="G29" s="18" t="s">
        <v>24</v>
      </c>
      <c r="H29" s="11" t="s">
        <v>17</v>
      </c>
      <c r="I29" s="12"/>
    </row>
    <row r="30" customFormat="false" ht="37.5" hidden="false" customHeight="true" outlineLevel="0" collapsed="false">
      <c r="A30" s="13" t="n">
        <v>26</v>
      </c>
      <c r="B30" s="14" t="s">
        <v>72</v>
      </c>
      <c r="C30" s="15" t="s">
        <v>80</v>
      </c>
      <c r="D30" s="16" t="s">
        <v>81</v>
      </c>
      <c r="E30" s="19" t="s">
        <v>82</v>
      </c>
      <c r="F30" s="9" t="s">
        <v>15</v>
      </c>
      <c r="G30" s="18" t="s">
        <v>24</v>
      </c>
      <c r="H30" s="11" t="s">
        <v>17</v>
      </c>
      <c r="I30" s="17"/>
    </row>
    <row r="31" customFormat="false" ht="37.5" hidden="false" customHeight="true" outlineLevel="0" collapsed="false">
      <c r="A31" s="4" t="n">
        <v>27</v>
      </c>
      <c r="B31" s="5" t="s">
        <v>83</v>
      </c>
      <c r="C31" s="6" t="s">
        <v>84</v>
      </c>
      <c r="D31" s="7" t="s">
        <v>85</v>
      </c>
      <c r="E31" s="11" t="s">
        <v>27</v>
      </c>
      <c r="F31" s="9" t="s">
        <v>15</v>
      </c>
      <c r="G31" s="10" t="s">
        <v>16</v>
      </c>
      <c r="H31" s="11" t="s">
        <v>17</v>
      </c>
      <c r="I31" s="12"/>
    </row>
    <row r="32" customFormat="false" ht="37.5" hidden="false" customHeight="true" outlineLevel="0" collapsed="false">
      <c r="A32" s="13" t="n">
        <v>28</v>
      </c>
      <c r="B32" s="14" t="s">
        <v>83</v>
      </c>
      <c r="C32" s="15" t="s">
        <v>86</v>
      </c>
      <c r="D32" s="16" t="s">
        <v>87</v>
      </c>
      <c r="E32" s="19" t="s">
        <v>82</v>
      </c>
      <c r="F32" s="9" t="s">
        <v>15</v>
      </c>
      <c r="G32" s="10" t="s">
        <v>16</v>
      </c>
      <c r="H32" s="11" t="s">
        <v>17</v>
      </c>
      <c r="I32" s="17"/>
    </row>
    <row r="33" customFormat="false" ht="37.5" hidden="false" customHeight="true" outlineLevel="0" collapsed="false">
      <c r="A33" s="4" t="n">
        <v>29</v>
      </c>
      <c r="B33" s="5" t="s">
        <v>83</v>
      </c>
      <c r="C33" s="6" t="s">
        <v>88</v>
      </c>
      <c r="D33" s="7" t="s">
        <v>89</v>
      </c>
      <c r="E33" s="19" t="s">
        <v>82</v>
      </c>
      <c r="F33" s="9" t="s">
        <v>15</v>
      </c>
      <c r="G33" s="10" t="s">
        <v>16</v>
      </c>
      <c r="H33" s="11" t="s">
        <v>17</v>
      </c>
      <c r="I33" s="12"/>
    </row>
    <row r="34" customFormat="false" ht="37.5" hidden="false" customHeight="true" outlineLevel="0" collapsed="false">
      <c r="A34" s="13" t="n">
        <v>30</v>
      </c>
      <c r="B34" s="14" t="s">
        <v>90</v>
      </c>
      <c r="C34" s="15" t="s">
        <v>91</v>
      </c>
      <c r="D34" s="16" t="s">
        <v>92</v>
      </c>
      <c r="E34" s="8" t="s">
        <v>14</v>
      </c>
      <c r="F34" s="11" t="s">
        <v>27</v>
      </c>
      <c r="G34" s="10" t="s">
        <v>16</v>
      </c>
      <c r="H34" s="11" t="s">
        <v>17</v>
      </c>
      <c r="I34" s="17"/>
    </row>
    <row r="35" customFormat="false" ht="37.5" hidden="false" customHeight="true" outlineLevel="0" collapsed="false">
      <c r="A35" s="4" t="n">
        <v>31</v>
      </c>
      <c r="B35" s="5" t="s">
        <v>90</v>
      </c>
      <c r="C35" s="6" t="s">
        <v>93</v>
      </c>
      <c r="D35" s="7" t="s">
        <v>94</v>
      </c>
      <c r="E35" s="11" t="s">
        <v>27</v>
      </c>
      <c r="F35" s="9" t="s">
        <v>15</v>
      </c>
      <c r="G35" s="10" t="s">
        <v>16</v>
      </c>
      <c r="H35" s="11" t="s">
        <v>17</v>
      </c>
      <c r="I35" s="12" t="s">
        <v>95</v>
      </c>
    </row>
    <row r="36" customFormat="false" ht="37.5" hidden="false" customHeight="true" outlineLevel="0" collapsed="false">
      <c r="A36" s="13" t="n">
        <v>32</v>
      </c>
      <c r="B36" s="14" t="s">
        <v>90</v>
      </c>
      <c r="C36" s="15" t="s">
        <v>96</v>
      </c>
      <c r="D36" s="16" t="s">
        <v>97</v>
      </c>
      <c r="E36" s="11" t="s">
        <v>27</v>
      </c>
      <c r="F36" s="9" t="s">
        <v>15</v>
      </c>
      <c r="G36" s="20" t="s">
        <v>98</v>
      </c>
      <c r="H36" s="11" t="s">
        <v>17</v>
      </c>
      <c r="I36" s="17"/>
    </row>
    <row r="37" customFormat="false" ht="7.5" hidden="false" customHeight="true" outlineLevel="0" collapsed="false"/>
    <row r="38" customFormat="false" ht="27.75" hidden="false" customHeight="true" outlineLevel="0" collapsed="false">
      <c r="A38" s="21" t="s">
        <v>99</v>
      </c>
      <c r="B38" s="21"/>
      <c r="C38" s="21"/>
      <c r="D38" s="22" t="s">
        <v>100</v>
      </c>
      <c r="E38" s="23" t="n">
        <f aca="false">COUNTA(H5:H36)</f>
        <v>32</v>
      </c>
      <c r="F38" s="22" t="s">
        <v>101</v>
      </c>
      <c r="G38" s="24" t="n">
        <f aca="false">COUNTIF(H5:H36,"Completado")</f>
        <v>0</v>
      </c>
      <c r="H38" s="22" t="s">
        <v>102</v>
      </c>
      <c r="I38" s="25" t="n">
        <f aca="false">IF(E38&gt;0,G38/E38,0)</f>
        <v>0</v>
      </c>
    </row>
  </sheetData>
  <mergeCells count="3">
    <mergeCell ref="A1:I1"/>
    <mergeCell ref="A2:I2"/>
    <mergeCell ref="A38:C38"/>
  </mergeCells>
  <dataValidations count="1">
    <dataValidation allowBlank="false" errorStyle="stop" operator="between" showDropDown="false" showErrorMessage="false" showInputMessage="false" sqref="H5:H36" type="list">
      <formula1>"Pendiente,En progreso,Completado,N/A"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36" hidden="false" customHeight="true" outlineLevel="0" collapsed="false">
      <c r="A1" s="26" t="s">
        <v>103</v>
      </c>
      <c r="B1" s="26"/>
      <c r="C1" s="26"/>
      <c r="D1" s="26"/>
      <c r="E1" s="26"/>
      <c r="F1" s="26"/>
    </row>
    <row r="2" customFormat="false" ht="21.75" hidden="false" customHeight="true" outlineLevel="0" collapsed="false">
      <c r="A2" s="2" t="s">
        <v>104</v>
      </c>
      <c r="B2" s="2"/>
      <c r="C2" s="2"/>
      <c r="D2" s="2"/>
      <c r="E2" s="2"/>
      <c r="F2" s="2"/>
    </row>
    <row r="3" customFormat="false" ht="9.75" hidden="false" customHeight="true" outlineLevel="0" collapsed="false"/>
    <row r="4" customFormat="false" ht="36" hidden="false" customHeight="true" outlineLevel="0" collapsed="false">
      <c r="A4" s="27" t="s">
        <v>105</v>
      </c>
      <c r="B4" s="27" t="s">
        <v>106</v>
      </c>
      <c r="C4" s="27" t="s">
        <v>107</v>
      </c>
      <c r="D4" s="27" t="s">
        <v>108</v>
      </c>
      <c r="E4" s="27" t="s">
        <v>109</v>
      </c>
      <c r="F4" s="27" t="s">
        <v>10</v>
      </c>
    </row>
    <row r="5" customFormat="false" ht="45.75" hidden="false" customHeight="true" outlineLevel="0" collapsed="false">
      <c r="A5" s="15" t="s">
        <v>110</v>
      </c>
      <c r="B5" s="28" t="s">
        <v>111</v>
      </c>
      <c r="C5" s="29" t="s">
        <v>111</v>
      </c>
      <c r="D5" s="30" t="s">
        <v>112</v>
      </c>
      <c r="E5" s="30" t="s">
        <v>113</v>
      </c>
      <c r="F5" s="31" t="s">
        <v>114</v>
      </c>
    </row>
    <row r="6" customFormat="false" ht="45.75" hidden="false" customHeight="true" outlineLevel="0" collapsed="false">
      <c r="A6" s="6" t="s">
        <v>115</v>
      </c>
      <c r="B6" s="28" t="s">
        <v>116</v>
      </c>
      <c r="C6" s="29" t="s">
        <v>117</v>
      </c>
      <c r="D6" s="32" t="s">
        <v>118</v>
      </c>
      <c r="E6" s="32" t="s">
        <v>113</v>
      </c>
      <c r="F6" s="33" t="s">
        <v>119</v>
      </c>
    </row>
    <row r="7" customFormat="false" ht="45.75" hidden="false" customHeight="true" outlineLevel="0" collapsed="false">
      <c r="A7" s="15" t="s">
        <v>120</v>
      </c>
      <c r="B7" s="28" t="s">
        <v>121</v>
      </c>
      <c r="C7" s="29" t="s">
        <v>121</v>
      </c>
      <c r="D7" s="30" t="s">
        <v>122</v>
      </c>
      <c r="E7" s="30" t="s">
        <v>24</v>
      </c>
      <c r="F7" s="31" t="s">
        <v>123</v>
      </c>
    </row>
    <row r="8" customFormat="false" ht="45.75" hidden="false" customHeight="true" outlineLevel="0" collapsed="false">
      <c r="A8" s="6" t="s">
        <v>124</v>
      </c>
      <c r="B8" s="28" t="s">
        <v>125</v>
      </c>
      <c r="C8" s="29" t="s">
        <v>111</v>
      </c>
      <c r="D8" s="32" t="s">
        <v>112</v>
      </c>
      <c r="E8" s="32" t="s">
        <v>24</v>
      </c>
      <c r="F8" s="33" t="s">
        <v>126</v>
      </c>
    </row>
    <row r="9" customFormat="false" ht="45.75" hidden="false" customHeight="true" outlineLevel="0" collapsed="false">
      <c r="A9" s="15" t="s">
        <v>127</v>
      </c>
      <c r="B9" s="28" t="s">
        <v>128</v>
      </c>
      <c r="C9" s="29" t="s">
        <v>129</v>
      </c>
      <c r="D9" s="30" t="s">
        <v>118</v>
      </c>
      <c r="E9" s="30" t="s">
        <v>24</v>
      </c>
      <c r="F9" s="31" t="s">
        <v>130</v>
      </c>
    </row>
    <row r="10" customFormat="false" ht="45.75" hidden="false" customHeight="true" outlineLevel="0" collapsed="false">
      <c r="A10" s="6" t="s">
        <v>131</v>
      </c>
      <c r="B10" s="28" t="s">
        <v>132</v>
      </c>
      <c r="C10" s="29" t="s">
        <v>133</v>
      </c>
      <c r="D10" s="32" t="s">
        <v>112</v>
      </c>
      <c r="E10" s="32" t="s">
        <v>24</v>
      </c>
      <c r="F10" s="33" t="s">
        <v>134</v>
      </c>
    </row>
    <row r="11" customFormat="false" ht="45.75" hidden="false" customHeight="true" outlineLevel="0" collapsed="false">
      <c r="A11" s="15" t="s">
        <v>135</v>
      </c>
      <c r="B11" s="28" t="s">
        <v>136</v>
      </c>
      <c r="C11" s="29" t="s">
        <v>111</v>
      </c>
      <c r="D11" s="30" t="s">
        <v>122</v>
      </c>
      <c r="E11" s="30" t="s">
        <v>98</v>
      </c>
      <c r="F11" s="31" t="s">
        <v>137</v>
      </c>
    </row>
    <row r="12" customFormat="false" ht="9.75" hidden="false" customHeight="true" outlineLevel="0" collapsed="false"/>
    <row r="13" customFormat="false" ht="45.75" hidden="false" customHeight="true" outlineLevel="0" collapsed="false">
      <c r="A13" s="34" t="s">
        <v>138</v>
      </c>
      <c r="B13" s="35" t="s">
        <v>139</v>
      </c>
      <c r="C13" s="36" t="s">
        <v>140</v>
      </c>
      <c r="D13" s="37" t="s">
        <v>141</v>
      </c>
      <c r="E13" s="37"/>
      <c r="F13" s="37"/>
    </row>
    <row r="15" customFormat="false" ht="27.75" hidden="false" customHeight="true" outlineLevel="0" collapsed="false">
      <c r="A15" s="38" t="s">
        <v>142</v>
      </c>
      <c r="B15" s="38"/>
      <c r="C15" s="38"/>
      <c r="D15" s="38"/>
      <c r="E15" s="38"/>
      <c r="F15" s="38"/>
    </row>
    <row r="16" customFormat="false" ht="51.75" hidden="false" customHeight="true" outlineLevel="0" collapsed="false">
      <c r="A16" s="39" t="s">
        <v>143</v>
      </c>
      <c r="B16" s="39"/>
      <c r="C16" s="39"/>
      <c r="D16" s="39"/>
      <c r="E16" s="39"/>
      <c r="F16" s="39"/>
    </row>
    <row r="17" customFormat="false" ht="51.75" hidden="false" customHeight="true" outlineLevel="0" collapsed="false">
      <c r="A17" s="40" t="s">
        <v>144</v>
      </c>
      <c r="B17" s="40"/>
      <c r="C17" s="40"/>
      <c r="D17" s="40"/>
      <c r="E17" s="40"/>
      <c r="F17" s="40"/>
    </row>
    <row r="18" customFormat="false" ht="51.75" hidden="false" customHeight="true" outlineLevel="0" collapsed="false">
      <c r="A18" s="39" t="s">
        <v>145</v>
      </c>
      <c r="B18" s="39"/>
      <c r="C18" s="39"/>
      <c r="D18" s="39"/>
      <c r="E18" s="39"/>
      <c r="F18" s="39"/>
    </row>
    <row r="19" customFormat="false" ht="51.75" hidden="false" customHeight="true" outlineLevel="0" collapsed="false">
      <c r="A19" s="40" t="s">
        <v>146</v>
      </c>
      <c r="B19" s="40"/>
      <c r="C19" s="40"/>
      <c r="D19" s="40"/>
      <c r="E19" s="40"/>
      <c r="F19" s="40"/>
    </row>
  </sheetData>
  <mergeCells count="8">
    <mergeCell ref="A1:F1"/>
    <mergeCell ref="A2:F2"/>
    <mergeCell ref="D13:F13"/>
    <mergeCell ref="A15:F15"/>
    <mergeCell ref="A16:F16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2026-05-05T06:46:31Z</dcterms:created>
  <dc:creator>openpyxl</dc:creator>
  <dc:description/>
  <dc:language>en-US</dc:language>
  <cp:lastModifiedBy/>
  <dcterms:modified xsi:type="dcterms:W3CDTF">2026-05-05T06:46:31Z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